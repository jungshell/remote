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1.이사회·정관" sheetId="2" state="visible" r:id="rId2"/>
    <sheet xmlns:r="http://schemas.openxmlformats.org/officeDocument/2006/relationships" name="2.회계·등기" sheetId="3" state="visible" r:id="rId3"/>
    <sheet xmlns:r="http://schemas.openxmlformats.org/officeDocument/2006/relationships" name="3.인사·채용" sheetId="4" state="visible" r:id="rId4"/>
    <sheet xmlns:r="http://schemas.openxmlformats.org/officeDocument/2006/relationships" name="4.복직·사직" sheetId="5" state="visible" r:id="rId5"/>
    <sheet xmlns:r="http://schemas.openxmlformats.org/officeDocument/2006/relationships" name="5.징계·포상·교육" sheetId="6" state="visible" r:id="rId6"/>
    <sheet xmlns:r="http://schemas.openxmlformats.org/officeDocument/2006/relationships" name="6.파견·청렴" sheetId="7" state="visible" r:id="rId7"/>
    <sheet xmlns:r="http://schemas.openxmlformats.org/officeDocument/2006/relationships" name="7.계약직" sheetId="8" state="visible" r:id="rId8"/>
    <sheet xmlns:r="http://schemas.openxmlformats.org/officeDocument/2006/relationships" name="8.성희롱예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제규정 기한 반자동 계산기</t>
        </is>
      </c>
      <c r="B1" t="inlineStr"/>
    </row>
    <row r="2">
      <c r="A2" t="inlineStr">
        <is>
          <t>1. 각 시트에서 노란열「기준일」에만 날짜를 입력합니다.</t>
        </is>
      </c>
      <c r="B2" t="inlineStr"/>
    </row>
    <row r="3">
      <c r="A3" t="inlineStr">
        <is>
          <t>2.「가산일수」: 마감이 기준일 '이후'면 양수(예: 통고 후 7일 → +7). '이전'에 끝내면 음수(예: 회의 7일 전 통지 → -7).</t>
        </is>
      </c>
      <c r="B3" t="inlineStr"/>
    </row>
    <row r="4">
      <c r="A4" t="inlineStr">
        <is>
          <t>3.「가산개월」이 0이 아니면 EDATE로 개월만 적용되고, 일수열은 무시됩니다(둘 중 하나만 쓰는 행).</t>
        </is>
      </c>
      <c r="B4" t="inlineStr"/>
    </row>
    <row r="5">
      <c r="A5" t="inlineStr">
        <is>
          <t>4. '반기말+5일' 등은 기준일을 6/30 또는 12/31로 넣고 가산일수 +5.</t>
        </is>
      </c>
      <c r="B5" t="inlineStr"/>
    </row>
    <row r="6">
      <c r="A6" t="inlineStr">
        <is>
          <t>5. 법령 문언과 표준일 해석이 다를 수 있으니 최종은 조문·유권해석을 확인하세요.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8" customWidth="1" min="3" max="3"/>
    <col width="13" customWidth="1" min="4" max="4"/>
    <col width="16" customWidth="1" min="5" max="5"/>
    <col width="16" customWidth="1" min="6" max="6"/>
    <col width="44" customWidth="1" min="7" max="7"/>
    <col width="11" customWidth="1" min="8" max="8"/>
    <col width="12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정기이사회 소집 시한(개시 10일 전)</t>
        </is>
      </c>
      <c r="C2" s="2" t="inlineStr">
        <is>
          <t>회계연도 개시일(예: 3/1)</t>
        </is>
      </c>
      <c r="D2" s="3" t="n"/>
      <c r="E2" s="2" t="n">
        <v>-10</v>
      </c>
      <c r="F2" s="2" t="n">
        <v>0</v>
      </c>
      <c r="G2" s="4">
        <f>IF(D2="","",IF(F2&lt;&gt;0,EDATE(D2,F2),D2+E2))</f>
        <v/>
      </c>
      <c r="H2" s="2" t="inlineStr">
        <is>
          <t>개시 전까지 소집</t>
        </is>
      </c>
      <c r="I2" s="2" t="inlineStr">
        <is>
          <t>정관 제12조제2항</t>
        </is>
      </c>
    </row>
    <row r="3">
      <c r="A3" s="2" t="n">
        <v>2</v>
      </c>
      <c r="B3" s="2" t="inlineStr">
        <is>
          <t>이사회 소집 통지</t>
        </is>
      </c>
      <c r="C3" s="2" t="inlineStr">
        <is>
          <t>이사회 개최일</t>
        </is>
      </c>
      <c r="D3" s="3" t="n"/>
      <c r="E3" s="2" t="n">
        <v>-7</v>
      </c>
      <c r="F3" s="2" t="n">
        <v>0</v>
      </c>
      <c r="G3" s="4">
        <f>IF(D3="","",IF(F3&lt;&gt;0,EDATE(D3,F3),D3+E3))</f>
        <v/>
      </c>
      <c r="H3" s="2" t="inlineStr">
        <is>
          <t>통지 마감</t>
        </is>
      </c>
      <c r="I3" s="2" t="inlineStr">
        <is>
          <t>정관 제12조제3항</t>
        </is>
      </c>
    </row>
    <row r="4">
      <c r="A4" s="2" t="n">
        <v>3</v>
      </c>
      <c r="B4" s="2" t="inlineStr">
        <is>
          <t>이사회 통지(운영규정)</t>
        </is>
      </c>
      <c r="C4" s="2" t="inlineStr">
        <is>
          <t>이사회 개최일</t>
        </is>
      </c>
      <c r="D4" s="3" t="n"/>
      <c r="E4" s="2" t="n">
        <v>-7</v>
      </c>
      <c r="F4" s="2" t="n">
        <v>0</v>
      </c>
      <c r="G4" s="4">
        <f>IF(D4="","",IF(F4&lt;&gt;0,EDATE(D4,F4),D4+E4))</f>
        <v/>
      </c>
      <c r="H4" s="2" t="inlineStr">
        <is>
          <t>규정상 동일 취지</t>
        </is>
      </c>
      <c r="I4" s="2" t="inlineStr">
        <is>
          <t>Ⅱ-1 제4조제3항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3" customWidth="1" min="4" max="4"/>
    <col width="16" customWidth="1" min="5" max="5"/>
    <col width="16" customWidth="1" min="6" max="6"/>
    <col width="44" customWidth="1" min="7" max="7"/>
    <col width="18" customWidth="1" min="8" max="8"/>
    <col width="12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사업계획·예산안 제출</t>
        </is>
      </c>
      <c r="C2" s="2" t="inlineStr">
        <is>
          <t>회계연도 개시일</t>
        </is>
      </c>
      <c r="D2" s="3" t="n"/>
      <c r="E2" s="2" t="n">
        <v>0</v>
      </c>
      <c r="F2" s="2" t="n">
        <v>1</v>
      </c>
      <c r="G2" s="4">
        <f>IF(D2="","",IF(F2&lt;&gt;0,EDATE(D2,F2),D2+E2))</f>
        <v/>
      </c>
      <c r="H2" s="2" t="inlineStr">
        <is>
          <t>개시 1개월 이내(EDATE)</t>
        </is>
      </c>
      <c r="I2" s="2" t="inlineStr">
        <is>
          <t>정관 제23조제1항</t>
        </is>
      </c>
    </row>
    <row r="3">
      <c r="A3" s="2" t="n">
        <v>2</v>
      </c>
      <c r="B3" s="2" t="inlineStr">
        <is>
          <t>결산 완료 등</t>
        </is>
      </c>
      <c r="C3" s="2" t="inlineStr">
        <is>
          <t>회계연도 마지막 날</t>
        </is>
      </c>
      <c r="D3" s="3" t="n"/>
      <c r="E3" s="2" t="n">
        <v>0</v>
      </c>
      <c r="F3" s="2" t="n">
        <v>2</v>
      </c>
      <c r="G3" s="4">
        <f>IF(D3="","",IF(F3&lt;&gt;0,EDATE(D3,F3),D3+E3))</f>
        <v/>
      </c>
      <c r="H3" s="2" t="inlineStr">
        <is>
          <t>종료 후 2개월 이내</t>
        </is>
      </c>
      <c r="I3" s="2" t="inlineStr">
        <is>
          <t>정관 제24조</t>
        </is>
      </c>
    </row>
    <row r="4">
      <c r="A4" s="2" t="n">
        <v>3</v>
      </c>
      <c r="B4" s="2" t="inlineStr">
        <is>
          <t>등기사항증명 제출</t>
        </is>
      </c>
      <c r="C4" s="2" t="inlineStr">
        <is>
          <t>등기 완료일</t>
        </is>
      </c>
      <c r="D4" s="3" t="n"/>
      <c r="E4" s="2" t="n">
        <v>10</v>
      </c>
      <c r="F4" s="2" t="n">
        <v>0</v>
      </c>
      <c r="G4" s="4">
        <f>IF(D4="","",IF(F4&lt;&gt;0,EDATE(D4,F4),D4+E4))</f>
        <v/>
      </c>
      <c r="H4" s="2" t="inlineStr">
        <is>
          <t>10일 이내</t>
        </is>
      </c>
      <c r="I4" s="2" t="inlineStr">
        <is>
          <t>정관 제36조제3항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13" customWidth="1" min="4" max="4"/>
    <col width="16" customWidth="1" min="5" max="5"/>
    <col width="16" customWidth="1" min="6" max="6"/>
    <col width="44" customWidth="1" min="7" max="7"/>
    <col width="24" customWidth="1" min="8" max="8"/>
    <col width="16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공개채용 공고(일반)</t>
        </is>
      </c>
      <c r="C2" s="2" t="inlineStr">
        <is>
          <t>원서접수 마감일</t>
        </is>
      </c>
      <c r="D2" s="3" t="n"/>
      <c r="E2" s="2" t="n">
        <v>-20</v>
      </c>
      <c r="F2" s="2" t="n">
        <v>0</v>
      </c>
      <c r="G2" s="4">
        <f>IF(D2="","",IF(F2&lt;&gt;0,EDATE(D2,F2),D2+E2))</f>
        <v/>
      </c>
      <c r="H2" s="2" t="inlineStr">
        <is>
          <t>10명 이하 채용은 -10으로 바꿔 사용</t>
        </is>
      </c>
      <c r="I2" s="2" t="inlineStr">
        <is>
          <t>인사규정 제6조제1항</t>
        </is>
      </c>
    </row>
    <row r="3">
      <c r="A3" s="2" t="n">
        <v>2</v>
      </c>
      <c r="B3" s="2" t="inlineStr">
        <is>
          <t>채용계획 도지사 통보</t>
        </is>
      </c>
      <c r="C3" s="2" t="inlineStr">
        <is>
          <t>공고 예정일</t>
        </is>
      </c>
      <c r="D3" s="3" t="n"/>
      <c r="E3" s="2" t="n">
        <v>-15</v>
      </c>
      <c r="F3" s="2" t="n">
        <v>0</v>
      </c>
      <c r="G3" s="4">
        <f>IF(D3="","",IF(F3&lt;&gt;0,EDATE(D3,F3),D3+E3))</f>
        <v/>
      </c>
      <c r="H3" s="2" t="inlineStr"/>
      <c r="I3" s="2" t="inlineStr">
        <is>
          <t>인사관리규칙 제11조</t>
        </is>
      </c>
    </row>
    <row r="4">
      <c r="A4" s="2" t="n">
        <v>3</v>
      </c>
      <c r="B4" s="2" t="inlineStr">
        <is>
          <t>공개채용 공고(규칙)</t>
        </is>
      </c>
      <c r="C4" s="2" t="inlineStr">
        <is>
          <t>원서접수 마감일</t>
        </is>
      </c>
      <c r="D4" s="3" t="n"/>
      <c r="E4" s="2" t="n">
        <v>-20</v>
      </c>
      <c r="F4" s="2" t="n">
        <v>0</v>
      </c>
      <c r="G4" s="4">
        <f>IF(D4="","",IF(F4&lt;&gt;0,EDATE(D4,F4),D4+E4))</f>
        <v/>
      </c>
      <c r="H4" s="2" t="inlineStr">
        <is>
          <t>단기계약은 별도 단축 규정 참조</t>
        </is>
      </c>
      <c r="I4" s="2" t="inlineStr">
        <is>
          <t>인사관리규칙 제12조의2</t>
        </is>
      </c>
    </row>
    <row r="5">
      <c r="A5" s="2" t="n">
        <v>4</v>
      </c>
      <c r="B5" s="2" t="inlineStr">
        <is>
          <t>임용 응날·채용확정 취소</t>
        </is>
      </c>
      <c r="C5" s="2" t="inlineStr">
        <is>
          <t>임용 예정일</t>
        </is>
      </c>
      <c r="D5" s="3" t="n"/>
      <c r="E5" s="2" t="n">
        <v>-7</v>
      </c>
      <c r="F5" s="2" t="n">
        <v>0</v>
      </c>
      <c r="G5" s="4">
        <f>IF(D5="","",IF(F5&lt;&gt;0,EDATE(D5,F5),D5+E5))</f>
        <v/>
      </c>
      <c r="H5" s="2" t="inlineStr">
        <is>
          <t>7일 이내 미응</t>
        </is>
      </c>
      <c r="I5" s="2" t="inlineStr">
        <is>
          <t>인사관리규칙 제15조제4호</t>
        </is>
      </c>
    </row>
    <row r="6">
      <c r="A6" s="2" t="n">
        <v>5</v>
      </c>
      <c r="B6" s="2" t="inlineStr">
        <is>
          <t>수습 근무성적 평가 착수</t>
        </is>
      </c>
      <c r="C6" s="2" t="inlineStr">
        <is>
          <t>수습 만료일(채용+3개월 등 별도 산정)</t>
        </is>
      </c>
      <c r="D6" s="3" t="n"/>
      <c r="E6" s="2" t="n">
        <v>-30</v>
      </c>
      <c r="F6" s="2" t="n">
        <v>0</v>
      </c>
      <c r="G6" s="4">
        <f>IF(D6="","",IF(F6&lt;&gt;0,EDATE(D6,F6),D6+E6))</f>
        <v/>
      </c>
      <c r="H6" s="2" t="inlineStr">
        <is>
          <t>만료 1개월 전까지</t>
        </is>
      </c>
      <c r="I6" s="2" t="inlineStr">
        <is>
          <t>인사관리규칙 제16조제1항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6" customWidth="1" min="5" max="5"/>
    <col width="16" customWidth="1" min="6" max="6"/>
    <col width="44" customWidth="1" min="7" max="7"/>
    <col width="17" customWidth="1" min="8" max="8"/>
    <col width="25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복직원 제출 마감</t>
        </is>
      </c>
      <c r="C2" s="2" t="inlineStr">
        <is>
          <t>휴직 만료일 또는 사유 소멸일</t>
        </is>
      </c>
      <c r="D2" s="3" t="n"/>
      <c r="E2" s="2" t="n">
        <v>30</v>
      </c>
      <c r="F2" s="2" t="n">
        <v>0</v>
      </c>
      <c r="G2" s="4">
        <f>IF(D2="","",IF(F2&lt;&gt;0,EDATE(D2,F2),D2+E2))</f>
        <v/>
      </c>
      <c r="H2" s="2" t="inlineStr">
        <is>
          <t>30일 이내</t>
        </is>
      </c>
      <c r="I2" s="2" t="inlineStr">
        <is>
          <t>인사규정 제29조제1항</t>
        </is>
      </c>
    </row>
    <row r="3">
      <c r="A3" s="2" t="n">
        <v>2</v>
      </c>
      <c r="B3" s="2" t="inlineStr">
        <is>
          <t>휴직 만료 후 해직 간주(미복직)</t>
        </is>
      </c>
      <c r="C3" s="2" t="inlineStr">
        <is>
          <t>휴직 만료일</t>
        </is>
      </c>
      <c r="D3" s="3" t="n"/>
      <c r="E3" s="2" t="n">
        <v>30</v>
      </c>
      <c r="F3" s="2" t="n">
        <v>0</v>
      </c>
      <c r="G3" s="4">
        <f>IF(D3="","",IF(F3&lt;&gt;0,EDATE(D3,F3),D3+E3))</f>
        <v/>
      </c>
      <c r="H3" s="2" t="inlineStr">
        <is>
          <t>30일 내 복직신청 없음 등</t>
        </is>
      </c>
      <c r="I3" s="2" t="inlineStr">
        <is>
          <t>인사규정 제31조제1항</t>
        </is>
      </c>
    </row>
    <row r="4">
      <c r="A4" s="2" t="n">
        <v>3</v>
      </c>
      <c r="B4" s="2" t="inlineStr">
        <is>
          <t>의원면직·사직원 제출</t>
        </is>
      </c>
      <c r="C4" s="2" t="inlineStr">
        <is>
          <t>퇴직 희망일</t>
        </is>
      </c>
      <c r="D4" s="3" t="n"/>
      <c r="E4" s="2" t="n">
        <v>-30</v>
      </c>
      <c r="F4" s="2" t="n">
        <v>0</v>
      </c>
      <c r="G4" s="4">
        <f>IF(D4="","",IF(F4&lt;&gt;0,EDATE(D4,F4),D4+E4))</f>
        <v/>
      </c>
      <c r="H4" s="2" t="inlineStr">
        <is>
          <t>30일 전 제출</t>
        </is>
      </c>
      <c r="I4" s="2" t="inlineStr">
        <is>
          <t>인사규정 제34조 / 인사관리규칙 제48조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3" customWidth="1" min="4" max="4"/>
    <col width="16" customWidth="1" min="5" max="5"/>
    <col width="16" customWidth="1" min="6" max="6"/>
    <col width="44" customWidth="1" min="7" max="7"/>
    <col width="18" customWidth="1" min="8" max="8"/>
    <col width="26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징계 재심청구 마감</t>
        </is>
      </c>
      <c r="C2" s="2" t="inlineStr">
        <is>
          <t>징계 통고일</t>
        </is>
      </c>
      <c r="D2" s="3" t="n"/>
      <c r="E2" s="2" t="n">
        <v>7</v>
      </c>
      <c r="F2" s="2" t="n">
        <v>0</v>
      </c>
      <c r="G2" s="4">
        <f>IF(D2="","",IF(F2&lt;&gt;0,EDATE(D2,F2),D2+E2))</f>
        <v/>
      </c>
      <c r="H2" s="2" t="inlineStr">
        <is>
          <t>7일 이내</t>
        </is>
      </c>
      <c r="I2" s="2" t="inlineStr">
        <is>
          <t>인사규정 제41조</t>
        </is>
      </c>
    </row>
    <row r="3">
      <c r="A3" s="2" t="n">
        <v>2</v>
      </c>
      <c r="B3" s="2" t="inlineStr">
        <is>
          <t>징계 재심(규칙·계약직 동일)</t>
        </is>
      </c>
      <c r="C3" s="2" t="inlineStr">
        <is>
          <t>징계 통고일</t>
        </is>
      </c>
      <c r="D3" s="3" t="n"/>
      <c r="E3" s="2" t="n">
        <v>7</v>
      </c>
      <c r="F3" s="2" t="n">
        <v>0</v>
      </c>
      <c r="G3" s="4">
        <f>IF(D3="","",IF(F3&lt;&gt;0,EDATE(D3,F3),D3+E3))</f>
        <v/>
      </c>
      <c r="H3" s="2" t="inlineStr"/>
      <c r="I3" s="2" t="inlineStr">
        <is>
          <t>인사관리규칙 제42조 / 계약직 제13조의6</t>
        </is>
      </c>
    </row>
    <row r="4">
      <c r="A4" s="2" t="n">
        <v>3</v>
      </c>
      <c r="B4" s="2" t="inlineStr">
        <is>
          <t>징계 출석 통지 송부</t>
        </is>
      </c>
      <c r="C4" s="2" t="inlineStr">
        <is>
          <t>인사위 출석 예정일</t>
        </is>
      </c>
      <c r="D4" s="3" t="n"/>
      <c r="E4" s="2" t="n">
        <v>-10</v>
      </c>
      <c r="F4" s="2" t="n">
        <v>0</v>
      </c>
      <c r="G4" s="4">
        <f>IF(D4="","",IF(F4&lt;&gt;0,EDATE(D4,F4),D4+E4))</f>
        <v/>
      </c>
      <c r="H4" s="2" t="inlineStr">
        <is>
          <t>10일 전</t>
        </is>
      </c>
      <c r="I4" s="2" t="inlineStr">
        <is>
          <t>인사관리규칙 제38조제1항</t>
        </is>
      </c>
    </row>
    <row r="5">
      <c r="A5" s="2" t="n">
        <v>4</v>
      </c>
      <c r="B5" s="2" t="inlineStr">
        <is>
          <t>징계 집행(재심 확정 시)</t>
        </is>
      </c>
      <c r="C5" s="2" t="inlineStr">
        <is>
          <t>징계 의결 확정일</t>
        </is>
      </c>
      <c r="D5" s="3" t="n"/>
      <c r="E5" s="2" t="n">
        <v>7</v>
      </c>
      <c r="F5" s="2" t="n">
        <v>0</v>
      </c>
      <c r="G5" s="4">
        <f>IF(D5="","",IF(F5&lt;&gt;0,EDATE(D5,F5),D5+E5))</f>
        <v/>
      </c>
      <c r="H5" s="2" t="inlineStr">
        <is>
          <t>의결 후 7일 이내 집행 가능</t>
        </is>
      </c>
      <c r="I5" s="2" t="inlineStr">
        <is>
          <t>인사관리규칙 제43조</t>
        </is>
      </c>
    </row>
    <row r="6">
      <c r="A6" s="2" t="n">
        <v>5</v>
      </c>
      <c r="B6" s="2" t="inlineStr">
        <is>
          <t>포상 추천서 제출</t>
        </is>
      </c>
      <c r="C6" s="2" t="inlineStr">
        <is>
          <t>포상 수여 예정일</t>
        </is>
      </c>
      <c r="D6" s="3" t="n"/>
      <c r="E6" s="2" t="n">
        <v>-20</v>
      </c>
      <c r="F6" s="2" t="n">
        <v>0</v>
      </c>
      <c r="G6" s="4">
        <f>IF(D6="","",IF(F6&lt;&gt;0,EDATE(D6,F6),D6+E6))</f>
        <v/>
      </c>
      <c r="H6" s="2" t="inlineStr"/>
      <c r="I6" s="2" t="inlineStr">
        <is>
          <t>인사관리규칙 제28조제3항</t>
        </is>
      </c>
    </row>
    <row r="7">
      <c r="A7" s="2" t="n">
        <v>6</v>
      </c>
      <c r="B7" s="2" t="inlineStr">
        <is>
          <t>휴직자 복무상황 보고</t>
        </is>
      </c>
      <c r="C7" s="2" t="inlineStr">
        <is>
          <t>반기 말일(6/30 또는 12/31)</t>
        </is>
      </c>
      <c r="D7" s="3" t="n"/>
      <c r="E7" s="2" t="n">
        <v>5</v>
      </c>
      <c r="F7" s="2" t="n">
        <v>0</v>
      </c>
      <c r="G7" s="4">
        <f>IF(D7="","",IF(F7&lt;&gt;0,EDATE(D7,F7),D7+E7))</f>
        <v/>
      </c>
      <c r="H7" s="2" t="inlineStr">
        <is>
          <t>말일 기준 5일 이내</t>
        </is>
      </c>
      <c r="I7" s="2" t="inlineStr">
        <is>
          <t>인사관리규칙 제55조제2항</t>
        </is>
      </c>
    </row>
    <row r="8">
      <c r="A8" s="2" t="n">
        <v>7</v>
      </c>
      <c r="B8" s="2" t="inlineStr">
        <is>
          <t>음주처분 자진신고</t>
        </is>
      </c>
      <c r="C8" s="2" t="inlineStr">
        <is>
          <t>처분일</t>
        </is>
      </c>
      <c r="D8" s="3" t="n"/>
      <c r="E8" s="2" t="n">
        <v>0</v>
      </c>
      <c r="F8" s="2" t="n">
        <v>1</v>
      </c>
      <c r="G8" s="4">
        <f>IF(D8="","",IF(F8&lt;&gt;0,EDATE(D8,F8),D8+E8))</f>
        <v/>
      </c>
      <c r="H8" s="2" t="inlineStr">
        <is>
          <t>1개월 이내(EDATE)</t>
        </is>
      </c>
      <c r="I8" s="2" t="inlineStr">
        <is>
          <t>인사관리규칙 제40조의1제3항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3" customWidth="1" min="4" max="4"/>
    <col width="16" customWidth="1" min="5" max="5"/>
    <col width="16" customWidth="1" min="6" max="6"/>
    <col width="44" customWidth="1" min="7" max="7"/>
    <col width="14" customWidth="1" min="8" max="8"/>
    <col width="14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파견 만기(1년)</t>
        </is>
      </c>
      <c r="C2" s="2" t="inlineStr">
        <is>
          <t>파견 시작일</t>
        </is>
      </c>
      <c r="D2" s="3" t="n"/>
      <c r="E2" s="2" t="n">
        <v>0</v>
      </c>
      <c r="F2" s="2" t="n">
        <v>12</v>
      </c>
      <c r="G2" s="4">
        <f>IF(D2="","",IF(F2&lt;&gt;0,EDATE(D2,F2),D2+E2))</f>
        <v/>
      </c>
      <c r="H2" s="2" t="inlineStr">
        <is>
          <t>1년 이내·연장 별도</t>
        </is>
      </c>
      <c r="I2" s="2" t="inlineStr">
        <is>
          <t>인사규정 제14조제2항</t>
        </is>
      </c>
    </row>
    <row r="3">
      <c r="A3" s="2" t="n">
        <v>2</v>
      </c>
      <c r="B3" s="2" t="inlineStr">
        <is>
          <t>외부강의 사례금 신고</t>
        </is>
      </c>
      <c r="C3" s="2" t="inlineStr">
        <is>
          <t>외부강의 종료일</t>
        </is>
      </c>
      <c r="D3" s="3" t="n"/>
      <c r="E3" s="2" t="n">
        <v>10</v>
      </c>
      <c r="F3" s="2" t="n">
        <v>0</v>
      </c>
      <c r="G3" s="4">
        <f>IF(D3="","",IF(F3&lt;&gt;0,EDATE(D3,F3),D3+E3))</f>
        <v/>
      </c>
      <c r="H3" s="2" t="inlineStr">
        <is>
          <t>10일 이내</t>
        </is>
      </c>
      <c r="I3" s="2" t="inlineStr">
        <is>
          <t>행강 제24조제2항</t>
        </is>
      </c>
    </row>
    <row r="4">
      <c r="A4" s="2" t="n">
        <v>3</v>
      </c>
      <c r="B4" s="2" t="inlineStr">
        <is>
          <t>신고 보완</t>
        </is>
      </c>
      <c r="C4" s="2" t="inlineStr">
        <is>
          <t>미신고 사항을 안 날</t>
        </is>
      </c>
      <c r="D4" s="3" t="n"/>
      <c r="E4" s="2" t="n">
        <v>5</v>
      </c>
      <c r="F4" s="2" t="n">
        <v>0</v>
      </c>
      <c r="G4" s="4">
        <f>IF(D4="","",IF(F4&lt;&gt;0,EDATE(D4,F4),D4+E4))</f>
        <v/>
      </c>
      <c r="H4" s="2" t="inlineStr"/>
      <c r="I4" s="2" t="inlineStr">
        <is>
          <t>행강 제24조제3항</t>
        </is>
      </c>
    </row>
    <row r="5">
      <c r="A5" s="2" t="n">
        <v>4</v>
      </c>
      <c r="B5" s="2" t="inlineStr">
        <is>
          <t>초과사례금 신고</t>
        </is>
      </c>
      <c r="C5" s="2" t="inlineStr">
        <is>
          <t>초과 수령 사실을 안 날</t>
        </is>
      </c>
      <c r="D5" s="3" t="n"/>
      <c r="E5" s="2" t="n">
        <v>2</v>
      </c>
      <c r="F5" s="2" t="n">
        <v>0</v>
      </c>
      <c r="G5" s="4">
        <f>IF(D5="","",IF(F5&lt;&gt;0,EDATE(D5,F5),D5+E5))</f>
        <v/>
      </c>
      <c r="H5" s="2" t="inlineStr"/>
      <c r="I5" s="2" t="inlineStr">
        <is>
          <t>행강 제25조제1항</t>
        </is>
      </c>
    </row>
    <row r="6">
      <c r="A6" s="2" t="n">
        <v>5</v>
      </c>
      <c r="B6" s="2" t="inlineStr">
        <is>
          <t>초과액 산정·통지(원장)</t>
        </is>
      </c>
      <c r="C6" s="2" t="inlineStr">
        <is>
          <t>신고 접수·확인 기준일(참고)</t>
        </is>
      </c>
      <c r="D6" s="3" t="n"/>
      <c r="E6" s="2" t="n">
        <v>7</v>
      </c>
      <c r="F6" s="2" t="n">
        <v>0</v>
      </c>
      <c r="G6" s="4">
        <f>IF(D6="","",IF(F6&lt;&gt;0,EDATE(D6,F6),D6+E6))</f>
        <v/>
      </c>
      <c r="H6" s="2" t="inlineStr">
        <is>
          <t>직무상 통지 기한 참고</t>
        </is>
      </c>
      <c r="I6" s="2" t="inlineStr">
        <is>
          <t>행강 제25조제2항</t>
        </is>
      </c>
    </row>
    <row r="7">
      <c r="A7" s="2" t="n">
        <v>6</v>
      </c>
      <c r="B7" s="2" t="inlineStr">
        <is>
          <t>직무청렴계약 체결</t>
        </is>
      </c>
      <c r="C7" s="2" t="inlineStr">
        <is>
          <t>임명·채용일</t>
        </is>
      </c>
      <c r="D7" s="3" t="n"/>
      <c r="E7" s="2" t="n">
        <v>0</v>
      </c>
      <c r="F7" s="2" t="n">
        <v>3</v>
      </c>
      <c r="G7" s="4">
        <f>IF(D7="","",IF(F7&lt;&gt;0,EDATE(D7,F7),D7+E7))</f>
        <v/>
      </c>
      <c r="H7" s="2" t="inlineStr">
        <is>
          <t>3개월 이내</t>
        </is>
      </c>
      <c r="I7" s="2" t="inlineStr">
        <is>
          <t>행강 제38조제2항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3" customWidth="1" min="4" max="4"/>
    <col width="16" customWidth="1" min="5" max="5"/>
    <col width="16" customWidth="1" min="6" max="6"/>
    <col width="44" customWidth="1" min="7" max="7"/>
    <col width="10" customWidth="1" min="8" max="8"/>
    <col width="18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재계약·연장 요청</t>
        </is>
      </c>
      <c r="C2" s="2" t="inlineStr">
        <is>
          <t>재계약 개시 예정일</t>
        </is>
      </c>
      <c r="D2" s="3" t="n"/>
      <c r="E2" s="2" t="n">
        <v>-42</v>
      </c>
      <c r="F2" s="2" t="n">
        <v>0</v>
      </c>
      <c r="G2" s="4">
        <f>IF(D2="","",IF(F2&lt;&gt;0,EDATE(D2,F2),D2+E2))</f>
        <v/>
      </c>
      <c r="H2" s="2" t="inlineStr">
        <is>
          <t>6주=42일 전</t>
        </is>
      </c>
      <c r="I2" s="2" t="inlineStr">
        <is>
          <t>계약직관리규칙 제9조제2항</t>
        </is>
      </c>
    </row>
    <row r="3">
      <c r="A3" s="2" t="n">
        <v>2</v>
      </c>
      <c r="B3" s="2" t="inlineStr">
        <is>
          <t>근무성적평정 실시</t>
        </is>
      </c>
      <c r="C3" s="2" t="inlineStr">
        <is>
          <t>계약 만료일</t>
        </is>
      </c>
      <c r="D3" s="3" t="n"/>
      <c r="E3" s="2" t="n">
        <v>-30</v>
      </c>
      <c r="F3" s="2" t="n">
        <v>0</v>
      </c>
      <c r="G3" s="4">
        <f>IF(D3="","",IF(F3&lt;&gt;0,EDATE(D3,F3),D3+E3))</f>
        <v/>
      </c>
      <c r="H3" s="2" t="inlineStr">
        <is>
          <t>만료 30일 전</t>
        </is>
      </c>
      <c r="I3" s="2" t="inlineStr">
        <is>
          <t>계약직관리규칙 제9조의2제2항</t>
        </is>
      </c>
    </row>
    <row r="4">
      <c r="A4" s="2" t="n">
        <v>3</v>
      </c>
      <c r="B4" s="2" t="inlineStr">
        <is>
          <t>채용계약 해지 예고</t>
        </is>
      </c>
      <c r="C4" s="2" t="inlineStr">
        <is>
          <t>해지 효력 발생 희망일·만기일 참고</t>
        </is>
      </c>
      <c r="D4" s="3" t="n"/>
      <c r="E4" s="2" t="n">
        <v>-30</v>
      </c>
      <c r="F4" s="2" t="n">
        <v>0</v>
      </c>
      <c r="G4" s="4">
        <f>IF(D4="","",IF(F4&lt;&gt;0,EDATE(D4,F4),D4+E4))</f>
        <v/>
      </c>
      <c r="H4" s="2" t="inlineStr">
        <is>
          <t>30일 전 예고</t>
        </is>
      </c>
      <c r="I4" s="2" t="inlineStr">
        <is>
          <t>계약직관리규칙 제11조제1항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3" customWidth="1" min="4" max="4"/>
    <col width="16" customWidth="1" min="5" max="5"/>
    <col width="16" customWidth="1" min="6" max="6"/>
    <col width="44" customWidth="1" min="7" max="7"/>
    <col width="14" customWidth="1" min="8" max="8"/>
    <col width="14" customWidth="1" min="9" max="9"/>
  </cols>
  <sheetData>
    <row r="1">
      <c r="A1" s="1" t="inlineStr">
        <is>
          <t>번호</t>
        </is>
      </c>
      <c r="B1" s="1" t="inlineStr">
        <is>
          <t>점검 항목</t>
        </is>
      </c>
      <c r="C1" s="1" t="inlineStr">
        <is>
          <t>기준일 입력 안내</t>
        </is>
      </c>
      <c r="D1" s="1" t="inlineStr">
        <is>
          <t>기준일
(직접 입력)</t>
        </is>
      </c>
      <c r="E1" s="1" t="inlineStr">
        <is>
          <t>가산일수
(+마감/-선행)</t>
        </is>
      </c>
      <c r="F1" s="1" t="inlineStr">
        <is>
          <t>가산개월
(0이면 일수만)</t>
        </is>
      </c>
      <c r="G1" s="1" t="inlineStr">
        <is>
          <t>마감·기한일
(자동)</t>
        </is>
      </c>
      <c r="H1" s="1" t="inlineStr">
        <is>
          <t>비고</t>
        </is>
      </c>
      <c r="I1" s="1" t="inlineStr">
        <is>
          <t>근거</t>
        </is>
      </c>
    </row>
    <row r="2">
      <c r="A2" s="2" t="n">
        <v>1</v>
      </c>
      <c r="B2" s="2" t="inlineStr">
        <is>
          <t>신규 고충상담원 전문교육</t>
        </is>
      </c>
      <c r="C2" s="2" t="inlineStr">
        <is>
          <t>고충상담원 임명일</t>
        </is>
      </c>
      <c r="D2" s="3" t="n"/>
      <c r="E2" s="2" t="n">
        <v>0</v>
      </c>
      <c r="F2" s="2" t="n">
        <v>3</v>
      </c>
      <c r="G2" s="4">
        <f>IF(D2="","",IF(F2&lt;&gt;0,EDATE(D2,F2),D2+E2))</f>
        <v/>
      </c>
      <c r="H2" s="2" t="inlineStr">
        <is>
          <t>3개월 이내</t>
        </is>
      </c>
      <c r="I2" s="2" t="inlineStr">
        <is>
          <t>예방지침 제8조제2항</t>
        </is>
      </c>
    </row>
    <row r="3">
      <c r="A3" s="2" t="n">
        <v>2</v>
      </c>
      <c r="B3" s="2" t="inlineStr">
        <is>
          <t>신규 임용 예방교육</t>
        </is>
      </c>
      <c r="C3" s="2" t="inlineStr">
        <is>
          <t>임용일</t>
        </is>
      </c>
      <c r="D3" s="3" t="n"/>
      <c r="E3" s="2" t="n">
        <v>0</v>
      </c>
      <c r="F3" s="2" t="n">
        <v>2</v>
      </c>
      <c r="G3" s="4">
        <f>IF(D3="","",IF(F3&lt;&gt;0,EDATE(D3,F3),D3+E3))</f>
        <v/>
      </c>
      <c r="H3" s="2" t="inlineStr">
        <is>
          <t>2개월 이내</t>
        </is>
      </c>
      <c r="I3" s="2" t="inlineStr">
        <is>
          <t>예방지침 제9조제3항</t>
        </is>
      </c>
    </row>
    <row r="4">
      <c r="A4" s="2" t="n">
        <v>3</v>
      </c>
      <c r="B4" s="2" t="inlineStr">
        <is>
          <t>고충 조사 완료</t>
        </is>
      </c>
      <c r="C4" s="2" t="inlineStr">
        <is>
          <t>조사신청 접수일</t>
        </is>
      </c>
      <c r="D4" s="3" t="n"/>
      <c r="E4" s="2" t="n">
        <v>20</v>
      </c>
      <c r="F4" s="2" t="n">
        <v>0</v>
      </c>
      <c r="G4" s="4">
        <f>IF(D4="","",IF(F4&lt;&gt;0,EDATE(D4,F4),D4+E4))</f>
        <v/>
      </c>
      <c r="H4" s="2" t="inlineStr">
        <is>
          <t>20일+연장10일 별도</t>
        </is>
      </c>
      <c r="I4" s="2" t="inlineStr">
        <is>
          <t>예방지침 제11조제3항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2026-04-03T07:36:55Z</dcterms:created>
  <dcterms:modified xmlns:dcterms="http://purl.org/dc/terms/" xmlns:xsi="http://www.w3.org/2001/XMLSchema-instance" xsi:type="dcterms:W3CDTF">2026-04-03T07:36:55Z</dcterms:modified>
</cp:coreProperties>
</file>