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1.이사회·회계" sheetId="2" state="visible" r:id="rId2"/>
    <sheet xmlns:r="http://schemas.openxmlformats.org/officeDocument/2006/relationships" name="2.임원·노동자이사" sheetId="3" state="visible" r:id="rId3"/>
    <sheet xmlns:r="http://schemas.openxmlformats.org/officeDocument/2006/relationships" name="3.채용·임용" sheetId="4" state="visible" r:id="rId4"/>
    <sheet xmlns:r="http://schemas.openxmlformats.org/officeDocument/2006/relationships" name="4.재직·교육·청렴" sheetId="5" state="visible" r:id="rId5"/>
    <sheet xmlns:r="http://schemas.openxmlformats.org/officeDocument/2006/relationships" name="5.징계" sheetId="6" state="visible" r:id="rId6"/>
    <sheet xmlns:r="http://schemas.openxmlformats.org/officeDocument/2006/relationships" name="6.휴직·복직" sheetId="7" state="visible" r:id="rId7"/>
    <sheet xmlns:r="http://schemas.openxmlformats.org/officeDocument/2006/relationships" name="7.사직·계약직" sheetId="8" state="visible" r:id="rId8"/>
    <sheet xmlns:r="http://schemas.openxmlformats.org/officeDocument/2006/relationships" name="8.성희롱예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제규정 기한 계산기 (절차 순 시트·노동자이사 포함)</t>
        </is>
      </c>
      <c r="B1" t="inlineStr"/>
    </row>
    <row r="2">
      <c r="A2" t="inlineStr"/>
      <c r="B2" t="inlineStr"/>
    </row>
    <row r="3">
      <c r="A3" t="inlineStr">
        <is>
          <t>① 노란 열「기준일」만 입력하면「마감·기한일」이 계산됩니다.</t>
        </is>
      </c>
      <c r="B3" t="inlineStr"/>
    </row>
    <row r="4">
      <c r="A4" t="inlineStr">
        <is>
          <t>② 가산일수: 기준일 이후 마감 → 양수(예 +7). 기준일 이전에 완료 → 음수(예 회의 7일 전 통지 -7).</t>
        </is>
      </c>
      <c r="B4" t="inlineStr"/>
    </row>
    <row r="5">
      <c r="A5" t="inlineStr">
        <is>
          <t>③ 가산개월이 0이 아니면 EDATE(기준일, 개월)만 사용합니다(일수 열은 무시).</t>
        </is>
      </c>
      <c r="B5" t="inlineStr"/>
    </row>
    <row r="6">
      <c r="A6" t="inlineStr">
        <is>
          <t>④ 임기만료 40일 전 선거: 기준일=임기만료일, 계산 결과가「선거 실시일」이 되도록 -40 적용.</t>
        </is>
      </c>
      <c r="B6" t="inlineStr"/>
    </row>
    <row r="7">
      <c r="A7" t="inlineStr">
        <is>
          <t>⑤ 정관 임원 선임「30일 전」: 기준일=임기만료일, -30.</t>
        </is>
      </c>
      <c r="B7" t="inlineStr"/>
    </row>
    <row r="8">
      <c r="A8" t="inlineStr">
        <is>
          <t>⑥ 결원 후 60일 내 후임: 기준일=결원 발생일, 가산일수 +60.</t>
        </is>
      </c>
      <c r="B8" t="inlineStr"/>
    </row>
    <row r="9">
      <c r="A9" t="inlineStr">
        <is>
          <t>⑦ 원장 공모 사직「공고 전일」: 기준일=공고일, 가산일수 -1.</t>
        </is>
      </c>
      <c r="B9" t="inlineStr"/>
    </row>
    <row r="10">
      <c r="A10" t="inlineStr">
        <is>
          <t>⑧ 이의신청 후 5일: 기준일=이의 접수일, +5 (별도 행).</t>
        </is>
      </c>
      <c r="B10" t="inlineStr"/>
    </row>
    <row r="11">
      <c r="A11" t="inlineStr">
        <is>
          <t>⑨ 조문 해석·영업일 여부는 미반영이니 필요 시 법무 확인하세요.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3" customWidth="1" min="4" max="4"/>
    <col width="16" customWidth="1" min="5" max="5"/>
    <col width="16" customWidth="1" min="6" max="6"/>
    <col width="44" customWidth="1" min="7" max="7"/>
    <col width="13" customWidth="1" min="8" max="8"/>
    <col width="12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정기이사회 소집 시한</t>
        </is>
      </c>
      <c r="C2" s="2" t="inlineStr">
        <is>
          <t>회계연도 개시일</t>
        </is>
      </c>
      <c r="D2" s="3" t="n"/>
      <c r="E2" s="2" t="n">
        <v>-10</v>
      </c>
      <c r="F2" s="2" t="n">
        <v>0</v>
      </c>
      <c r="G2" s="4">
        <f>IF(D2="","",IF(F2&lt;&gt;0,EDATE(D2,F2),D2+E2))</f>
        <v/>
      </c>
      <c r="H2" s="2" t="inlineStr"/>
      <c r="I2" s="2" t="inlineStr">
        <is>
          <t>정관 제12조제2항</t>
        </is>
      </c>
    </row>
    <row r="3">
      <c r="A3" s="2" t="n">
        <v>2</v>
      </c>
      <c r="B3" s="2" t="inlineStr">
        <is>
          <t>이사회 소집 통지</t>
        </is>
      </c>
      <c r="C3" s="2" t="inlineStr">
        <is>
          <t>이사회 개최일</t>
        </is>
      </c>
      <c r="D3" s="3" t="n"/>
      <c r="E3" s="2" t="n">
        <v>-7</v>
      </c>
      <c r="F3" s="2" t="n">
        <v>0</v>
      </c>
      <c r="G3" s="4">
        <f>IF(D3="","",IF(F3&lt;&gt;0,EDATE(D3,F3),D3+E3))</f>
        <v/>
      </c>
      <c r="H3" s="2" t="inlineStr"/>
      <c r="I3" s="2" t="inlineStr">
        <is>
          <t>정관 제12조제3항</t>
        </is>
      </c>
    </row>
    <row r="4">
      <c r="A4" s="2" t="n">
        <v>3</v>
      </c>
      <c r="B4" s="2" t="inlineStr">
        <is>
          <t>이사회 통지(운영규정)</t>
        </is>
      </c>
      <c r="C4" s="2" t="inlineStr">
        <is>
          <t>이사회 개최일</t>
        </is>
      </c>
      <c r="D4" s="3" t="n"/>
      <c r="E4" s="2" t="n">
        <v>-7</v>
      </c>
      <c r="F4" s="2" t="n">
        <v>0</v>
      </c>
      <c r="G4" s="4">
        <f>IF(D4="","",IF(F4&lt;&gt;0,EDATE(D4,F4),D4+E4))</f>
        <v/>
      </c>
      <c r="H4" s="2" t="inlineStr"/>
      <c r="I4" s="2" t="inlineStr">
        <is>
          <t>Ⅱ-1 제4조제3항</t>
        </is>
      </c>
    </row>
    <row r="5">
      <c r="A5" s="2" t="n">
        <v>4</v>
      </c>
      <c r="B5" s="2" t="inlineStr">
        <is>
          <t>사업계획·예산안 제출</t>
        </is>
      </c>
      <c r="C5" s="2" t="inlineStr">
        <is>
          <t>회계연도 개시일</t>
        </is>
      </c>
      <c r="D5" s="3" t="n"/>
      <c r="E5" s="2" t="n">
        <v>0</v>
      </c>
      <c r="F5" s="2" t="n">
        <v>1</v>
      </c>
      <c r="G5" s="4">
        <f>IF(D5="","",IF(F5&lt;&gt;0,EDATE(D5,F5),D5+E5))</f>
        <v/>
      </c>
      <c r="H5" s="2" t="inlineStr">
        <is>
          <t>개시 1개월 이내</t>
        </is>
      </c>
      <c r="I5" s="2" t="inlineStr">
        <is>
          <t>정관 제23조제1항</t>
        </is>
      </c>
    </row>
    <row r="6">
      <c r="A6" s="2" t="n">
        <v>5</v>
      </c>
      <c r="B6" s="2" t="inlineStr">
        <is>
          <t>결산·실적 보고(결산 완료)</t>
        </is>
      </c>
      <c r="C6" s="2" t="inlineStr">
        <is>
          <t>회계연도 마지막 날</t>
        </is>
      </c>
      <c r="D6" s="3" t="n"/>
      <c r="E6" s="2" t="n">
        <v>0</v>
      </c>
      <c r="F6" s="2" t="n">
        <v>2</v>
      </c>
      <c r="G6" s="4">
        <f>IF(D6="","",IF(F6&lt;&gt;0,EDATE(D6,F6),D6+E6))</f>
        <v/>
      </c>
      <c r="H6" s="2" t="inlineStr">
        <is>
          <t>종료 후 2개월 이내</t>
        </is>
      </c>
      <c r="I6" s="2" t="inlineStr">
        <is>
          <t>정관 제24조</t>
        </is>
      </c>
    </row>
    <row r="7">
      <c r="A7" s="2" t="n">
        <v>6</v>
      </c>
      <c r="B7" s="2" t="inlineStr">
        <is>
          <t>등기사항증명 제출</t>
        </is>
      </c>
      <c r="C7" s="2" t="inlineStr">
        <is>
          <t>등기 완료일</t>
        </is>
      </c>
      <c r="D7" s="3" t="n"/>
      <c r="E7" s="2" t="n">
        <v>10</v>
      </c>
      <c r="F7" s="2" t="n">
        <v>0</v>
      </c>
      <c r="G7" s="4">
        <f>IF(D7="","",IF(F7&lt;&gt;0,EDATE(D7,F7),D7+E7))</f>
        <v/>
      </c>
      <c r="H7" s="2" t="inlineStr"/>
      <c r="I7" s="2" t="inlineStr">
        <is>
          <t>정관 제36조제3항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3" customWidth="1" min="4" max="4"/>
    <col width="16" customWidth="1" min="5" max="5"/>
    <col width="16" customWidth="1" min="6" max="6"/>
    <col width="50" customWidth="1" min="7" max="7"/>
    <col width="23" customWidth="1" min="8" max="8"/>
    <col width="17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임기만료 선거 실시(노동자이사 등)</t>
        </is>
      </c>
      <c r="C2" s="2" t="inlineStr">
        <is>
          <t>임기만료일</t>
        </is>
      </c>
      <c r="D2" s="3" t="n"/>
      <c r="E2" s="2" t="n">
        <v>-40</v>
      </c>
      <c r="F2" s="2" t="n">
        <v>0</v>
      </c>
      <c r="G2" s="4">
        <f>IF(D2="","",IF(F2&lt;&gt;0,EDATE(D2,F2),D2+E2))</f>
        <v/>
      </c>
      <c r="H2" s="2" t="inlineStr">
        <is>
          <t>선거관리규정: 임기만료 40일 전 실시</t>
        </is>
      </c>
      <c r="I2" s="2" t="inlineStr">
        <is>
          <t>Ⅱ-19 제7조제1항</t>
        </is>
      </c>
    </row>
    <row r="3">
      <c r="A3" s="2" t="n">
        <v>2</v>
      </c>
      <c r="B3" s="2" t="inlineStr">
        <is>
          <t>선거일 공고(7일 전까지)</t>
        </is>
      </c>
      <c r="C3" s="2" t="inlineStr">
        <is>
          <t>확정한 선거일</t>
        </is>
      </c>
      <c r="D3" s="3" t="n"/>
      <c r="E3" s="2" t="n">
        <v>-7</v>
      </c>
      <c r="F3" s="2" t="n">
        <v>0</v>
      </c>
      <c r="G3" s="4">
        <f>IF(D3="","",IF(F3&lt;&gt;0,EDATE(D3,F3),D3+E3))</f>
        <v/>
      </c>
      <c r="H3" s="2" t="inlineStr">
        <is>
          <t>재·보궐</t>
        </is>
      </c>
      <c r="I3" s="2" t="inlineStr">
        <is>
          <t>Ⅱ-19 제7조제2항 후단</t>
        </is>
      </c>
    </row>
    <row r="4">
      <c r="A4" s="2" t="n">
        <v>3</v>
      </c>
      <c r="B4" s="2" t="inlineStr">
        <is>
          <t>보궐·재선거 실시(50일 이내)</t>
        </is>
      </c>
      <c r="C4" s="2" t="inlineStr">
        <is>
          <t>실시사유 확정일</t>
        </is>
      </c>
      <c r="D4" s="3" t="n"/>
      <c r="E4" s="2" t="n">
        <v>50</v>
      </c>
      <c r="F4" s="2" t="n">
        <v>0</v>
      </c>
      <c r="G4" s="4">
        <f>IF(D4="","",IF(F4&lt;&gt;0,EDATE(D4,F4),D4+E4))</f>
        <v/>
      </c>
      <c r="H4" s="2" t="inlineStr"/>
      <c r="I4" s="2" t="inlineStr">
        <is>
          <t>Ⅱ-19 제7조제2항</t>
        </is>
      </c>
    </row>
    <row r="5">
      <c r="A5" s="2" t="n">
        <v>4</v>
      </c>
      <c r="B5" s="2" t="inlineStr">
        <is>
          <t>임원 선임(만료 전)</t>
        </is>
      </c>
      <c r="C5" s="2" t="inlineStr">
        <is>
          <t>임기만료일</t>
        </is>
      </c>
      <c r="D5" s="3" t="n"/>
      <c r="E5" s="2" t="n">
        <v>-30</v>
      </c>
      <c r="F5" s="2" t="n">
        <v>0</v>
      </c>
      <c r="G5" s="4">
        <f>IF(D5="","",IF(F5&lt;&gt;0,EDATE(D5,F5),D5+E5))</f>
        <v/>
      </c>
      <c r="H5" s="2" t="inlineStr">
        <is>
          <t>30일 전 선임 목표</t>
        </is>
      </c>
      <c r="I5" s="2" t="inlineStr">
        <is>
          <t>정관 제7조제5항 전단</t>
        </is>
      </c>
    </row>
    <row r="6">
      <c r="A6" s="2" t="n">
        <v>5</v>
      </c>
      <c r="B6" s="2" t="inlineStr">
        <is>
          <t>결원 후 임원 선임</t>
        </is>
      </c>
      <c r="C6" s="2" t="inlineStr">
        <is>
          <t>결원 발생일</t>
        </is>
      </c>
      <c r="D6" s="3" t="n"/>
      <c r="E6" s="2" t="n">
        <v>60</v>
      </c>
      <c r="F6" s="2" t="n">
        <v>0</v>
      </c>
      <c r="G6" s="4">
        <f>IF(D6="","",IF(F6&lt;&gt;0,EDATE(D6,F6),D6+E6))</f>
        <v/>
      </c>
      <c r="H6" s="2" t="inlineStr">
        <is>
          <t>60일 내 후임(단서 참조)</t>
        </is>
      </c>
      <c r="I6" s="2" t="inlineStr">
        <is>
          <t>정관 제7조제5항</t>
        </is>
      </c>
    </row>
    <row r="7">
      <c r="A7" s="2" t="n">
        <v>6</v>
      </c>
      <c r="B7" s="2" t="inlineStr">
        <is>
          <t>원장 공모 시 사직원 제출</t>
        </is>
      </c>
      <c r="C7" s="2" t="inlineStr">
        <is>
          <t>원장 공모 공고일</t>
        </is>
      </c>
      <c r="D7" s="3" t="n"/>
      <c r="E7" s="2" t="n">
        <v>-1</v>
      </c>
      <c r="F7" s="2" t="n">
        <v>0</v>
      </c>
      <c r="G7" s="4">
        <f>IF(D7="","",IF(F7&lt;&gt;0,EDATE(D7,F7),D7+E7))</f>
        <v/>
      </c>
      <c r="H7" s="2" t="inlineStr">
        <is>
          <t>공고일 전일까지</t>
        </is>
      </c>
      <c r="I7" s="2" t="inlineStr">
        <is>
          <t>정관 제7조제8항</t>
        </is>
      </c>
    </row>
    <row r="8">
      <c r="A8" s="2" t="n">
        <v>7</v>
      </c>
      <c r="B8" s="2" t="inlineStr">
        <is>
          <t>임원 공모 공고 최短(원칙)</t>
        </is>
      </c>
      <c r="C8" s="2" t="inlineStr">
        <is>
          <t>공고 종료일</t>
        </is>
      </c>
      <c r="D8" s="3" t="n"/>
      <c r="E8" s="2" t="n">
        <v>-15</v>
      </c>
      <c r="F8" s="2" t="n">
        <v>0</v>
      </c>
      <c r="G8" s="4">
        <f>IF(D8="","",IF(F8&lt;&gt;0,EDATE(D8,F8),D8+E8))</f>
        <v/>
      </c>
      <c r="H8" s="2" t="inlineStr">
        <is>
          <t>15일 이상 모집 → 시작일 추정</t>
        </is>
      </c>
      <c r="I8" s="2" t="inlineStr">
        <is>
          <t>Ⅱ-18 제11조제3항</t>
        </is>
      </c>
    </row>
    <row r="9">
      <c r="A9" s="2" t="n">
        <v>8</v>
      </c>
      <c r="B9" s="2" t="inlineStr">
        <is>
          <t>임원 공모 공고 최短(단축)</t>
        </is>
      </c>
      <c r="C9" s="2" t="inlineStr">
        <is>
          <t>공고 종료일</t>
        </is>
      </c>
      <c r="D9" s="3" t="n"/>
      <c r="E9" s="2" t="n">
        <v>-7</v>
      </c>
      <c r="F9" s="2" t="n">
        <v>0</v>
      </c>
      <c r="G9" s="4">
        <f>IF(D9="","",IF(F9&lt;&gt;0,EDATE(D9,F9),D9+E9))</f>
        <v/>
      </c>
      <c r="H9" s="2" t="inlineStr">
        <is>
          <t>단축 시 7일 이상</t>
        </is>
      </c>
      <c r="I9" s="2" t="inlineStr">
        <is>
          <t>Ⅱ-18 제11조제3항</t>
        </is>
      </c>
    </row>
    <row r="10">
      <c r="A10" s="2" t="n">
        <v>9</v>
      </c>
      <c r="B10" s="2" t="inlineStr">
        <is>
          <t>채용계획 도지사 통보(참고)</t>
        </is>
      </c>
      <c r="C10" s="2" t="inlineStr">
        <is>
          <t>노동자이사 선거·임원채용 공고예정일</t>
        </is>
      </c>
      <c r="D10" s="3" t="n"/>
      <c r="E10" s="2" t="n">
        <v>-15</v>
      </c>
      <c r="F10" s="2" t="n">
        <v>0</v>
      </c>
      <c r="G10" s="4">
        <f>IF(D10="","",IF(F10&lt;&gt;0,EDATE(D10,F10),D10+E10))</f>
        <v/>
      </c>
      <c r="H10" s="2" t="inlineStr">
        <is>
          <t>일반 직원 채용과 별개로 필요 시</t>
        </is>
      </c>
      <c r="I10" s="2" t="inlineStr">
        <is>
          <t>인사관리규칙 제11조</t>
        </is>
      </c>
    </row>
    <row r="11">
      <c r="A11" s="2" t="n">
        <v>10</v>
      </c>
      <c r="B11" s="2" t="inlineStr">
        <is>
          <t>선거 결과 이의신청</t>
        </is>
      </c>
      <c r="C11" s="2" t="inlineStr">
        <is>
          <t>선거일</t>
        </is>
      </c>
      <c r="D11" s="3" t="n"/>
      <c r="E11" s="2" t="n">
        <v>3</v>
      </c>
      <c r="F11" s="2" t="n">
        <v>0</v>
      </c>
      <c r="G11" s="4">
        <f>IF(D11="","",IF(F11&lt;&gt;0,EDATE(D11,F11),D11+E11))</f>
        <v/>
      </c>
      <c r="H11" s="2" t="inlineStr">
        <is>
          <t>3일 이내</t>
        </is>
      </c>
      <c r="I11" s="2" t="inlineStr">
        <is>
          <t>Ⅱ-19 제26조제2항 전단</t>
        </is>
      </c>
    </row>
    <row r="12">
      <c r="A12" s="2" t="n">
        <v>11</v>
      </c>
      <c r="B12" s="2" t="inlineStr">
        <is>
          <t>이의신청 처리·통보</t>
        </is>
      </c>
      <c r="C12" s="2" t="inlineStr">
        <is>
          <t>이의 접수일</t>
        </is>
      </c>
      <c r="D12" s="3" t="n"/>
      <c r="E12" s="2" t="n">
        <v>5</v>
      </c>
      <c r="F12" s="2" t="n">
        <v>0</v>
      </c>
      <c r="G12" s="4">
        <f>IF(D12="","",IF(F12&lt;&gt;0,EDATE(D12,F12),D12+E12))</f>
        <v/>
      </c>
      <c r="H12" s="2" t="inlineStr">
        <is>
          <t>5일 내 결정</t>
        </is>
      </c>
      <c r="I12" s="2" t="inlineStr">
        <is>
          <t>Ⅱ-19 제26조제2항 후단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3" customWidth="1" min="4" max="4"/>
    <col width="16" customWidth="1" min="5" max="5"/>
    <col width="16" customWidth="1" min="6" max="6"/>
    <col width="44" customWidth="1" min="7" max="7"/>
    <col width="12" customWidth="1" min="8" max="8"/>
    <col width="16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공개채용 공고</t>
        </is>
      </c>
      <c r="C2" s="2" t="inlineStr">
        <is>
          <t>원서접수 마감일</t>
        </is>
      </c>
      <c r="D2" s="3" t="n"/>
      <c r="E2" s="2" t="n">
        <v>-20</v>
      </c>
      <c r="F2" s="2" t="n">
        <v>0</v>
      </c>
      <c r="G2" s="4">
        <f>IF(D2="","",IF(F2&lt;&gt;0,EDATE(D2,F2),D2+E2))</f>
        <v/>
      </c>
      <c r="H2" s="2" t="inlineStr">
        <is>
          <t>10명 이하 -10</t>
        </is>
      </c>
      <c r="I2" s="2" t="inlineStr">
        <is>
          <t>인사규정 제6조제1항</t>
        </is>
      </c>
    </row>
    <row r="3">
      <c r="A3" s="2" t="n">
        <v>2</v>
      </c>
      <c r="B3" s="2" t="inlineStr">
        <is>
          <t>채용계획 도지사 통보</t>
        </is>
      </c>
      <c r="C3" s="2" t="inlineStr">
        <is>
          <t>공고 예정일</t>
        </is>
      </c>
      <c r="D3" s="3" t="n"/>
      <c r="E3" s="2" t="n">
        <v>-15</v>
      </c>
      <c r="F3" s="2" t="n">
        <v>0</v>
      </c>
      <c r="G3" s="4">
        <f>IF(D3="","",IF(F3&lt;&gt;0,EDATE(D3,F3),D3+E3))</f>
        <v/>
      </c>
      <c r="H3" s="2" t="inlineStr"/>
      <c r="I3" s="2" t="inlineStr">
        <is>
          <t>인사관리규칙 제11조</t>
        </is>
      </c>
    </row>
    <row r="4">
      <c r="A4" s="2" t="n">
        <v>3</v>
      </c>
      <c r="B4" s="2" t="inlineStr">
        <is>
          <t>공개채용 공고(규칙)</t>
        </is>
      </c>
      <c r="C4" s="2" t="inlineStr">
        <is>
          <t>원서접수 마감일</t>
        </is>
      </c>
      <c r="D4" s="3" t="n"/>
      <c r="E4" s="2" t="n">
        <v>-20</v>
      </c>
      <c r="F4" s="2" t="n">
        <v>0</v>
      </c>
      <c r="G4" s="4">
        <f>IF(D4="","",IF(F4&lt;&gt;0,EDATE(D4,F4),D4+E4))</f>
        <v/>
      </c>
      <c r="H4" s="2" t="inlineStr">
        <is>
          <t>단기 3·5·7일</t>
        </is>
      </c>
      <c r="I4" s="2" t="inlineStr">
        <is>
          <t>인사관리규칙 제12조의2</t>
        </is>
      </c>
    </row>
    <row r="5">
      <c r="A5" s="2" t="n">
        <v>4</v>
      </c>
      <c r="B5" s="2" t="inlineStr">
        <is>
          <t>임용 응날</t>
        </is>
      </c>
      <c r="C5" s="2" t="inlineStr">
        <is>
          <t>임용 예정일</t>
        </is>
      </c>
      <c r="D5" s="3" t="n"/>
      <c r="E5" s="2" t="n">
        <v>-7</v>
      </c>
      <c r="F5" s="2" t="n">
        <v>0</v>
      </c>
      <c r="G5" s="4">
        <f>IF(D5="","",IF(F5&lt;&gt;0,EDATE(D5,F5),D5+E5))</f>
        <v/>
      </c>
      <c r="H5" s="2" t="inlineStr"/>
      <c r="I5" s="2" t="inlineStr">
        <is>
          <t>인사관리규칙 제15조제4호</t>
        </is>
      </c>
    </row>
    <row r="6">
      <c r="A6" s="2" t="n">
        <v>5</v>
      </c>
      <c r="B6" s="2" t="inlineStr">
        <is>
          <t>수습 평가 착수</t>
        </is>
      </c>
      <c r="C6" s="2" t="inlineStr">
        <is>
          <t>수습 만료일</t>
        </is>
      </c>
      <c r="D6" s="3" t="n"/>
      <c r="E6" s="2" t="n">
        <v>-30</v>
      </c>
      <c r="F6" s="2" t="n">
        <v>0</v>
      </c>
      <c r="G6" s="4">
        <f>IF(D6="","",IF(F6&lt;&gt;0,EDATE(D6,F6),D6+E6))</f>
        <v/>
      </c>
      <c r="H6" s="2" t="inlineStr"/>
      <c r="I6" s="2" t="inlineStr">
        <is>
          <t>인사관리규칙 제16조제1항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3" customWidth="1" min="4" max="4"/>
    <col width="16" customWidth="1" min="5" max="5"/>
    <col width="16" customWidth="1" min="6" max="6"/>
    <col width="44" customWidth="1" min="7" max="7"/>
    <col width="10" customWidth="1" min="8" max="8"/>
    <col width="18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파견 1년</t>
        </is>
      </c>
      <c r="C2" s="2" t="inlineStr">
        <is>
          <t>파견 시작일</t>
        </is>
      </c>
      <c r="D2" s="3" t="n"/>
      <c r="E2" s="2" t="n">
        <v>0</v>
      </c>
      <c r="F2" s="2" t="n">
        <v>12</v>
      </c>
      <c r="G2" s="4">
        <f>IF(D2="","",IF(F2&lt;&gt;0,EDATE(D2,F2),D2+E2))</f>
        <v/>
      </c>
      <c r="H2" s="2" t="inlineStr"/>
      <c r="I2" s="2" t="inlineStr">
        <is>
          <t>인사규정 제14조제2항</t>
        </is>
      </c>
    </row>
    <row r="3">
      <c r="A3" s="2" t="n">
        <v>2</v>
      </c>
      <c r="B3" s="2" t="inlineStr">
        <is>
          <t>포상 추천서</t>
        </is>
      </c>
      <c r="C3" s="2" t="inlineStr">
        <is>
          <t>포상 예정일</t>
        </is>
      </c>
      <c r="D3" s="3" t="n"/>
      <c r="E3" s="2" t="n">
        <v>-20</v>
      </c>
      <c r="F3" s="2" t="n">
        <v>0</v>
      </c>
      <c r="G3" s="4">
        <f>IF(D3="","",IF(F3&lt;&gt;0,EDATE(D3,F3),D3+E3))</f>
        <v/>
      </c>
      <c r="H3" s="2" t="inlineStr"/>
      <c r="I3" s="2" t="inlineStr">
        <is>
          <t>인사관리규칙 제28조제3항</t>
        </is>
      </c>
    </row>
    <row r="4">
      <c r="A4" s="2" t="n">
        <v>3</v>
      </c>
      <c r="B4" s="2" t="inlineStr">
        <is>
          <t>음주 처분 자진신고</t>
        </is>
      </c>
      <c r="C4" s="2" t="inlineStr">
        <is>
          <t>처분일</t>
        </is>
      </c>
      <c r="D4" s="3" t="n"/>
      <c r="E4" s="2" t="n">
        <v>0</v>
      </c>
      <c r="F4" s="2" t="n">
        <v>1</v>
      </c>
      <c r="G4" s="4">
        <f>IF(D4="","",IF(F4&lt;&gt;0,EDATE(D4,F4),D4+E4))</f>
        <v/>
      </c>
      <c r="H4" s="2" t="inlineStr"/>
      <c r="I4" s="2" t="inlineStr">
        <is>
          <t>인사관리규칙 제40조의1제3항</t>
        </is>
      </c>
    </row>
    <row r="5">
      <c r="A5" s="2" t="n">
        <v>4</v>
      </c>
      <c r="B5" s="2" t="inlineStr">
        <is>
          <t>외부강의 신고</t>
        </is>
      </c>
      <c r="C5" s="2" t="inlineStr">
        <is>
          <t>강의 종료일</t>
        </is>
      </c>
      <c r="D5" s="3" t="n"/>
      <c r="E5" s="2" t="n">
        <v>10</v>
      </c>
      <c r="F5" s="2" t="n">
        <v>0</v>
      </c>
      <c r="G5" s="4">
        <f>IF(D5="","",IF(F5&lt;&gt;0,EDATE(D5,F5),D5+E5))</f>
        <v/>
      </c>
      <c r="H5" s="2" t="inlineStr"/>
      <c r="I5" s="2" t="inlineStr">
        <is>
          <t>행강 제24조제2항</t>
        </is>
      </c>
    </row>
    <row r="6">
      <c r="A6" s="2" t="n">
        <v>5</v>
      </c>
      <c r="B6" s="2" t="inlineStr">
        <is>
          <t>신고 보완</t>
        </is>
      </c>
      <c r="C6" s="2" t="inlineStr">
        <is>
          <t>미상세 안 날</t>
        </is>
      </c>
      <c r="D6" s="3" t="n"/>
      <c r="E6" s="2" t="n">
        <v>5</v>
      </c>
      <c r="F6" s="2" t="n">
        <v>0</v>
      </c>
      <c r="G6" s="4">
        <f>IF(D6="","",IF(F6&lt;&gt;0,EDATE(D6,F6),D6+E6))</f>
        <v/>
      </c>
      <c r="H6" s="2" t="inlineStr"/>
      <c r="I6" s="2" t="inlineStr">
        <is>
          <t>행강 제24조제3항</t>
        </is>
      </c>
    </row>
    <row r="7">
      <c r="A7" s="2" t="n">
        <v>6</v>
      </c>
      <c r="B7" s="2" t="inlineStr">
        <is>
          <t>초과사례금 신고</t>
        </is>
      </c>
      <c r="C7" s="2" t="inlineStr">
        <is>
          <t>초과 인지일</t>
        </is>
      </c>
      <c r="D7" s="3" t="n"/>
      <c r="E7" s="2" t="n">
        <v>2</v>
      </c>
      <c r="F7" s="2" t="n">
        <v>0</v>
      </c>
      <c r="G7" s="4">
        <f>IF(D7="","",IF(F7&lt;&gt;0,EDATE(D7,F7),D7+E7))</f>
        <v/>
      </c>
      <c r="H7" s="2" t="inlineStr"/>
      <c r="I7" s="2" t="inlineStr">
        <is>
          <t>행강 제25조제1항</t>
        </is>
      </c>
    </row>
    <row r="8">
      <c r="A8" s="2" t="n">
        <v>7</v>
      </c>
      <c r="B8" s="2" t="inlineStr">
        <is>
          <t>초과액 산정 통지</t>
        </is>
      </c>
      <c r="C8" s="2" t="inlineStr">
        <is>
          <t>신고 접수·확인일(참고)</t>
        </is>
      </c>
      <c r="D8" s="3" t="n"/>
      <c r="E8" s="2" t="n">
        <v>7</v>
      </c>
      <c r="F8" s="2" t="n">
        <v>0</v>
      </c>
      <c r="G8" s="4">
        <f>IF(D8="","",IF(F8&lt;&gt;0,EDATE(D8,F8),D8+E8))</f>
        <v/>
      </c>
      <c r="H8" s="2" t="inlineStr"/>
      <c r="I8" s="2" t="inlineStr">
        <is>
          <t>행강 제25조제2항</t>
        </is>
      </c>
    </row>
    <row r="9">
      <c r="A9" s="2" t="n">
        <v>8</v>
      </c>
      <c r="B9" s="2" t="inlineStr">
        <is>
          <t>직무청렴계약</t>
        </is>
      </c>
      <c r="C9" s="2" t="inlineStr">
        <is>
          <t>임용일</t>
        </is>
      </c>
      <c r="D9" s="3" t="n"/>
      <c r="E9" s="2" t="n">
        <v>0</v>
      </c>
      <c r="F9" s="2" t="n">
        <v>3</v>
      </c>
      <c r="G9" s="4">
        <f>IF(D9="","",IF(F9&lt;&gt;0,EDATE(D9,F9),D9+E9))</f>
        <v/>
      </c>
      <c r="H9" s="2" t="inlineStr"/>
      <c r="I9" s="2" t="inlineStr">
        <is>
          <t>행강 제38조제2항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16" customWidth="1" min="5" max="5"/>
    <col width="16" customWidth="1" min="6" max="6"/>
    <col width="44" customWidth="1" min="7" max="7"/>
    <col width="10" customWidth="1" min="8" max="8"/>
    <col width="16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징계 출석 통지</t>
        </is>
      </c>
      <c r="C2" s="2" t="inlineStr">
        <is>
          <t>출석 예정일</t>
        </is>
      </c>
      <c r="D2" s="3" t="n"/>
      <c r="E2" s="2" t="n">
        <v>-10</v>
      </c>
      <c r="F2" s="2" t="n">
        <v>0</v>
      </c>
      <c r="G2" s="4">
        <f>IF(D2="","",IF(F2&lt;&gt;0,EDATE(D2,F2),D2+E2))</f>
        <v/>
      </c>
      <c r="H2" s="2" t="inlineStr"/>
      <c r="I2" s="2" t="inlineStr">
        <is>
          <t>인사관리규칙 제38조제1항</t>
        </is>
      </c>
    </row>
    <row r="3">
      <c r="A3" s="2" t="n">
        <v>2</v>
      </c>
      <c r="B3" s="2" t="inlineStr">
        <is>
          <t>징계 재심청구</t>
        </is>
      </c>
      <c r="C3" s="2" t="inlineStr">
        <is>
          <t>징계 통고일</t>
        </is>
      </c>
      <c r="D3" s="3" t="n"/>
      <c r="E3" s="2" t="n">
        <v>7</v>
      </c>
      <c r="F3" s="2" t="n">
        <v>0</v>
      </c>
      <c r="G3" s="4">
        <f>IF(D3="","",IF(F3&lt;&gt;0,EDATE(D3,F3),D3+E3))</f>
        <v/>
      </c>
      <c r="H3" s="2" t="inlineStr"/>
      <c r="I3" s="2" t="inlineStr">
        <is>
          <t>인사규정 제41조</t>
        </is>
      </c>
    </row>
    <row r="4">
      <c r="A4" s="2" t="n">
        <v>3</v>
      </c>
      <c r="B4" s="2" t="inlineStr">
        <is>
          <t>징계 집행(재심 확정)</t>
        </is>
      </c>
      <c r="C4" s="2" t="inlineStr">
        <is>
          <t>의결 확정일</t>
        </is>
      </c>
      <c r="D4" s="3" t="n"/>
      <c r="E4" s="2" t="n">
        <v>7</v>
      </c>
      <c r="F4" s="2" t="n">
        <v>0</v>
      </c>
      <c r="G4" s="4">
        <f>IF(D4="","",IF(F4&lt;&gt;0,EDATE(D4,F4),D4+E4))</f>
        <v/>
      </c>
      <c r="H4" s="2" t="inlineStr"/>
      <c r="I4" s="2" t="inlineStr">
        <is>
          <t>인사관리규칙 제43조</t>
        </is>
      </c>
    </row>
    <row r="5">
      <c r="A5" s="2" t="n">
        <v>4</v>
      </c>
      <c r="B5" s="2" t="inlineStr">
        <is>
          <t>계약직 징계 재심</t>
        </is>
      </c>
      <c r="C5" s="2" t="inlineStr">
        <is>
          <t>징계 통고일</t>
        </is>
      </c>
      <c r="D5" s="3" t="n"/>
      <c r="E5" s="2" t="n">
        <v>7</v>
      </c>
      <c r="F5" s="2" t="n">
        <v>0</v>
      </c>
      <c r="G5" s="4">
        <f>IF(D5="","",IF(F5&lt;&gt;0,EDATE(D5,F5),D5+E5))</f>
        <v/>
      </c>
      <c r="H5" s="2" t="inlineStr"/>
      <c r="I5" s="2" t="inlineStr">
        <is>
          <t>계약직 제13조의6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13" customWidth="1" min="4" max="4"/>
    <col width="16" customWidth="1" min="5" max="5"/>
    <col width="16" customWidth="1" min="6" max="6"/>
    <col width="44" customWidth="1" min="7" max="7"/>
    <col width="10" customWidth="1" min="8" max="8"/>
    <col width="16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복직원 제출</t>
        </is>
      </c>
      <c r="C2" s="2" t="inlineStr">
        <is>
          <t>만료·사유소멸일</t>
        </is>
      </c>
      <c r="D2" s="3" t="n"/>
      <c r="E2" s="2" t="n">
        <v>30</v>
      </c>
      <c r="F2" s="2" t="n">
        <v>0</v>
      </c>
      <c r="G2" s="4">
        <f>IF(D2="","",IF(F2&lt;&gt;0,EDATE(D2,F2),D2+E2))</f>
        <v/>
      </c>
      <c r="H2" s="2" t="inlineStr"/>
      <c r="I2" s="2" t="inlineStr">
        <is>
          <t>인사규정 제29조제1항</t>
        </is>
      </c>
    </row>
    <row r="3">
      <c r="A3" s="2" t="n">
        <v>2</v>
      </c>
      <c r="B3" s="2" t="inlineStr">
        <is>
          <t>휴직 만료 미복직(참고)</t>
        </is>
      </c>
      <c r="C3" s="2" t="inlineStr">
        <is>
          <t>휴직 만료일</t>
        </is>
      </c>
      <c r="D3" s="3" t="n"/>
      <c r="E3" s="2" t="n">
        <v>30</v>
      </c>
      <c r="F3" s="2" t="n">
        <v>0</v>
      </c>
      <c r="G3" s="4">
        <f>IF(D3="","",IF(F3&lt;&gt;0,EDATE(D3,F3),D3+E3))</f>
        <v/>
      </c>
      <c r="H3" s="2" t="inlineStr"/>
      <c r="I3" s="2" t="inlineStr">
        <is>
          <t>인사규정 제31조제1항</t>
        </is>
      </c>
    </row>
    <row r="4">
      <c r="A4" s="2" t="n">
        <v>3</v>
      </c>
      <c r="B4" s="2" t="inlineStr">
        <is>
          <t>휴직자 복무 보고</t>
        </is>
      </c>
      <c r="C4" s="2" t="inlineStr">
        <is>
          <t>반기 말일(6/30·12/31)</t>
        </is>
      </c>
      <c r="D4" s="3" t="n"/>
      <c r="E4" s="2" t="n">
        <v>5</v>
      </c>
      <c r="F4" s="2" t="n">
        <v>0</v>
      </c>
      <c r="G4" s="4">
        <f>IF(D4="","",IF(F4&lt;&gt;0,EDATE(D4,F4),D4+E4))</f>
        <v/>
      </c>
      <c r="H4" s="2" t="inlineStr"/>
      <c r="I4" s="2" t="inlineStr">
        <is>
          <t>인사관리규칙 제55조제2항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6" customWidth="1" min="5" max="5"/>
    <col width="16" customWidth="1" min="6" max="6"/>
    <col width="44" customWidth="1" min="7" max="7"/>
    <col width="10" customWidth="1" min="8" max="8"/>
    <col width="25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사직원 제출</t>
        </is>
      </c>
      <c r="C2" s="2" t="inlineStr">
        <is>
          <t>퇴직 희망일</t>
        </is>
      </c>
      <c r="D2" s="3" t="n"/>
      <c r="E2" s="2" t="n">
        <v>-30</v>
      </c>
      <c r="F2" s="2" t="n">
        <v>0</v>
      </c>
      <c r="G2" s="4">
        <f>IF(D2="","",IF(F2&lt;&gt;0,EDATE(D2,F2),D2+E2))</f>
        <v/>
      </c>
      <c r="H2" s="2" t="inlineStr"/>
      <c r="I2" s="2" t="inlineStr">
        <is>
          <t>인사규정 제34조 / 인사관리규칙 제48조</t>
        </is>
      </c>
    </row>
    <row r="3">
      <c r="A3" s="2" t="n">
        <v>2</v>
      </c>
      <c r="B3" s="2" t="inlineStr">
        <is>
          <t>계약 연장 요청</t>
        </is>
      </c>
      <c r="C3" s="2" t="inlineStr">
        <is>
          <t>재계약 개시일</t>
        </is>
      </c>
      <c r="D3" s="3" t="n"/>
      <c r="E3" s="2" t="n">
        <v>-42</v>
      </c>
      <c r="F3" s="2" t="n">
        <v>0</v>
      </c>
      <c r="G3" s="4">
        <f>IF(D3="","",IF(F3&lt;&gt;0,EDATE(D3,F3),D3+E3))</f>
        <v/>
      </c>
      <c r="H3" s="2" t="inlineStr">
        <is>
          <t>6주 전</t>
        </is>
      </c>
      <c r="I3" s="2" t="inlineStr">
        <is>
          <t>계약직 제9조제2항</t>
        </is>
      </c>
    </row>
    <row r="4">
      <c r="A4" s="2" t="n">
        <v>3</v>
      </c>
      <c r="B4" s="2" t="inlineStr">
        <is>
          <t>계약직 근무평정</t>
        </is>
      </c>
      <c r="C4" s="2" t="inlineStr">
        <is>
          <t>계약 만료일</t>
        </is>
      </c>
      <c r="D4" s="3" t="n"/>
      <c r="E4" s="2" t="n">
        <v>-30</v>
      </c>
      <c r="F4" s="2" t="n">
        <v>0</v>
      </c>
      <c r="G4" s="4">
        <f>IF(D4="","",IF(F4&lt;&gt;0,EDATE(D4,F4),D4+E4))</f>
        <v/>
      </c>
      <c r="H4" s="2" t="inlineStr"/>
      <c r="I4" s="2" t="inlineStr">
        <is>
          <t>계약직 제9조의2제2항</t>
        </is>
      </c>
    </row>
    <row r="5">
      <c r="A5" s="2" t="n">
        <v>4</v>
      </c>
      <c r="B5" s="2" t="inlineStr">
        <is>
          <t>계약 해지 예고</t>
        </is>
      </c>
      <c r="C5" s="2" t="inlineStr">
        <is>
          <t>해지 효력일(참고)</t>
        </is>
      </c>
      <c r="D5" s="3" t="n"/>
      <c r="E5" s="2" t="n">
        <v>-30</v>
      </c>
      <c r="F5" s="2" t="n">
        <v>0</v>
      </c>
      <c r="G5" s="4">
        <f>IF(D5="","",IF(F5&lt;&gt;0,EDATE(D5,F5),D5+E5))</f>
        <v/>
      </c>
      <c r="H5" s="2" t="inlineStr"/>
      <c r="I5" s="2" t="inlineStr">
        <is>
          <t>계약직 제11조제1항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6" customWidth="1" min="5" max="5"/>
    <col width="16" customWidth="1" min="6" max="6"/>
    <col width="44" customWidth="1" min="7" max="7"/>
    <col width="11" customWidth="1" min="8" max="8"/>
    <col width="14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고충상담원 교육</t>
        </is>
      </c>
      <c r="C2" s="2" t="inlineStr">
        <is>
          <t>임명일</t>
        </is>
      </c>
      <c r="D2" s="3" t="n"/>
      <c r="E2" s="2" t="n">
        <v>0</v>
      </c>
      <c r="F2" s="2" t="n">
        <v>3</v>
      </c>
      <c r="G2" s="4">
        <f>IF(D2="","",IF(F2&lt;&gt;0,EDATE(D2,F2),D2+E2))</f>
        <v/>
      </c>
      <c r="H2" s="2" t="inlineStr"/>
      <c r="I2" s="2" t="inlineStr">
        <is>
          <t>예방지침 제8조제2항</t>
        </is>
      </c>
    </row>
    <row r="3">
      <c r="A3" s="2" t="n">
        <v>2</v>
      </c>
      <c r="B3" s="2" t="inlineStr">
        <is>
          <t>신규 임용 예방교육</t>
        </is>
      </c>
      <c r="C3" s="2" t="inlineStr">
        <is>
          <t>임용일</t>
        </is>
      </c>
      <c r="D3" s="3" t="n"/>
      <c r="E3" s="2" t="n">
        <v>0</v>
      </c>
      <c r="F3" s="2" t="n">
        <v>2</v>
      </c>
      <c r="G3" s="4">
        <f>IF(D3="","",IF(F3&lt;&gt;0,EDATE(D3,F3),D3+E3))</f>
        <v/>
      </c>
      <c r="H3" s="2" t="inlineStr"/>
      <c r="I3" s="2" t="inlineStr">
        <is>
          <t>예방지침 제9조제3항</t>
        </is>
      </c>
    </row>
    <row r="4">
      <c r="A4" s="2" t="n">
        <v>3</v>
      </c>
      <c r="B4" s="2" t="inlineStr">
        <is>
          <t>고충 조사 완료</t>
        </is>
      </c>
      <c r="C4" s="2" t="inlineStr">
        <is>
          <t>조사 접수일</t>
        </is>
      </c>
      <c r="D4" s="3" t="n"/>
      <c r="E4" s="2" t="n">
        <v>20</v>
      </c>
      <c r="F4" s="2" t="n">
        <v>0</v>
      </c>
      <c r="G4" s="4">
        <f>IF(D4="","",IF(F4&lt;&gt;0,EDATE(D4,F4),D4+E4))</f>
        <v/>
      </c>
      <c r="H4" s="2" t="inlineStr">
        <is>
          <t>연장 10일 별도</t>
        </is>
      </c>
      <c r="I4" s="2" t="inlineStr">
        <is>
          <t>예방지침 제11조제3항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2026-04-03T08:07:16Z</dcterms:created>
  <dcterms:modified xmlns:dcterms="http://purl.org/dc/terms/" xmlns:xsi="http://www.w3.org/2001/XMLSchema-instance" xsi:type="dcterms:W3CDTF">2026-04-03T08:07:16Z</dcterms:modified>
</cp:coreProperties>
</file>